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x8XRNYFamIqTAxG3quBM4vdTtes044YX\2026-msc-sem-proj-zanggerf\hardware\testing\"/>
    </mc:Choice>
  </mc:AlternateContent>
  <xr:revisionPtr revIDLastSave="0" documentId="8_{83CA40AD-235E-4332-AC4A-A9A6F1C01D9D}" xr6:coauthVersionLast="47" xr6:coauthVersionMax="47" xr10:uidLastSave="{00000000-0000-0000-0000-000000000000}"/>
  <bookViews>
    <workbookView xWindow="-110" yWindow="-110" windowWidth="19420" windowHeight="10300" tabRatio="794" xr2:uid="{D7B3C39E-C003-4201-8AFD-D06941F889AD}"/>
  </bookViews>
  <sheets>
    <sheet name="Can Dimensions" sheetId="1" r:id="rId1"/>
    <sheet name="Stats" sheetId="2" r:id="rId2"/>
    <sheet name="Testing" sheetId="6" r:id="rId3"/>
    <sheet name="Cutter Performance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7" l="1"/>
  <c r="D5" i="7"/>
  <c r="N5" i="1"/>
  <c r="L5" i="1"/>
  <c r="I5" i="1"/>
  <c r="J5" i="1"/>
  <c r="D4" i="7"/>
  <c r="D3" i="7"/>
  <c r="D2" i="7"/>
  <c r="N4" i="1"/>
  <c r="L4" i="1"/>
  <c r="J4" i="1"/>
  <c r="I4" i="1"/>
  <c r="N3" i="1"/>
  <c r="L3" i="1"/>
  <c r="L2" i="1"/>
  <c r="N2" i="1" s="1"/>
  <c r="J3" i="1"/>
  <c r="I3" i="1"/>
  <c r="J2" i="1"/>
  <c r="I2" i="1"/>
</calcChain>
</file>

<file path=xl/sharedStrings.xml><?xml version="1.0" encoding="utf-8"?>
<sst xmlns="http://schemas.openxmlformats.org/spreadsheetml/2006/main" count="173" uniqueCount="149">
  <si>
    <t>El Tony</t>
  </si>
  <si>
    <t>Can Type</t>
  </si>
  <si>
    <t>Diameter [mm]</t>
  </si>
  <si>
    <t>Height [mm]</t>
  </si>
  <si>
    <t>Bottom Height [mm]</t>
  </si>
  <si>
    <t>Top Height [mm]</t>
  </si>
  <si>
    <t>Bottom Ring Diameter [mm]</t>
  </si>
  <si>
    <t>Top Ring Diameter [mm]</t>
  </si>
  <si>
    <t>Usable Height [mm]</t>
  </si>
  <si>
    <t>Usable Area [mm^2]</t>
  </si>
  <si>
    <t>Volume [ml]</t>
  </si>
  <si>
    <t>Brands</t>
  </si>
  <si>
    <t>Cans Cut apart:</t>
  </si>
  <si>
    <t>Fingers cut:</t>
  </si>
  <si>
    <t>Circumference</t>
  </si>
  <si>
    <t>desired String Thickness</t>
  </si>
  <si>
    <t>Required Knife Angle</t>
  </si>
  <si>
    <t>Slim Tall</t>
  </si>
  <si>
    <t>Uludag</t>
  </si>
  <si>
    <t>Wide Short</t>
  </si>
  <si>
    <t>Wide Tall</t>
  </si>
  <si>
    <t>Quöllfrisch, Somersby</t>
  </si>
  <si>
    <t>Twisted</t>
  </si>
  <si>
    <t>Double Folded</t>
  </si>
  <si>
    <t>Fence Name</t>
  </si>
  <si>
    <t>Wire Type</t>
  </si>
  <si>
    <t>Connection Type</t>
  </si>
  <si>
    <t>Fence Type</t>
  </si>
  <si>
    <t>Weaknesses</t>
  </si>
  <si>
    <t>Manufacturing Complexity</t>
  </si>
  <si>
    <t>Knotted Loops</t>
  </si>
  <si>
    <t>&lt;10 mm Loops</t>
  </si>
  <si>
    <t>Cow Hitch Knot</t>
  </si>
  <si>
    <t>tbd</t>
  </si>
  <si>
    <t>Low Tensile Strength</t>
  </si>
  <si>
    <t xml:space="preserve">Difficult to cut cans into rings, how to automate then? </t>
  </si>
  <si>
    <t>Version</t>
  </si>
  <si>
    <t># of cans</t>
  </si>
  <si>
    <t>Time</t>
  </si>
  <si>
    <t>Time per can</t>
  </si>
  <si>
    <t>Double Rotary Cutter</t>
  </si>
  <si>
    <t>Linked Loops</t>
  </si>
  <si>
    <t>Days without injuring my hands:</t>
  </si>
  <si>
    <t>connections easy</t>
  </si>
  <si>
    <t>difficult to cut loops</t>
  </si>
  <si>
    <t>high</t>
  </si>
  <si>
    <t>Triple folded</t>
  </si>
  <si>
    <t>Testing Arrangement:</t>
  </si>
  <si>
    <t>Test Strip of 50 cm length</t>
  </si>
  <si>
    <t>Attached to carabiners at both ends, suspended. Increasing weights are added to test the tensile strength.</t>
  </si>
  <si>
    <t>Twisted Double</t>
  </si>
  <si>
    <t>Twisted Triple</t>
  </si>
  <si>
    <t>Rolled</t>
  </si>
  <si>
    <t>Quadruple Rotary</t>
  </si>
  <si>
    <t>Material Cost (meters/can)</t>
  </si>
  <si>
    <t>Consider?</t>
  </si>
  <si>
    <t>no, too weak and complex</t>
  </si>
  <si>
    <t>15 mm strip</t>
  </si>
  <si>
    <t>folding hooks</t>
  </si>
  <si>
    <t>difficult to bend, rips</t>
  </si>
  <si>
    <t>medium, possible to automate</t>
  </si>
  <si>
    <t>yes</t>
  </si>
  <si>
    <t>Medium Tall</t>
  </si>
  <si>
    <t>broken at connection</t>
  </si>
  <si>
    <t>6 mm strip</t>
  </si>
  <si>
    <t>can caps</t>
  </si>
  <si>
    <t>cans used: mate</t>
  </si>
  <si>
    <t>difficult to connect, as is quite thick</t>
  </si>
  <si>
    <t>hard to connect with caps</t>
  </si>
  <si>
    <t>quite complicated</t>
  </si>
  <si>
    <t>strong but breaks instantly when bent</t>
  </si>
  <si>
    <t>no</t>
  </si>
  <si>
    <t>no, too costly</t>
  </si>
  <si>
    <t>no, too complex</t>
  </si>
  <si>
    <t>maybe</t>
  </si>
  <si>
    <t>twisted shows best results in efficiency, good strength and is still flexible for bending/winding onto spools -&gt; clearly best option</t>
  </si>
  <si>
    <t>now: find optimal width of aluminium strips for twisting</t>
  </si>
  <si>
    <t>notes</t>
  </si>
  <si>
    <t>resulting wire width</t>
  </si>
  <si>
    <t>1 mm</t>
  </si>
  <si>
    <t>very fine wire, but not strong and at the limit of being able to be cut (thinnest achievable strips)</t>
  </si>
  <si>
    <t>1.5 mm</t>
  </si>
  <si>
    <t>fine wire, decent strength, no problems in twisting</t>
  </si>
  <si>
    <t>strip width</t>
  </si>
  <si>
    <t>1.8 mm</t>
  </si>
  <si>
    <t xml:space="preserve">springy wire, </t>
  </si>
  <si>
    <t>strength test</t>
  </si>
  <si>
    <t>buckling radius</t>
  </si>
  <si>
    <t>8 mm</t>
  </si>
  <si>
    <t>35 mm</t>
  </si>
  <si>
    <t>40 mm</t>
  </si>
  <si>
    <t>2.2 mm</t>
  </si>
  <si>
    <t>50 mm</t>
  </si>
  <si>
    <t>slight overlap starting?</t>
  </si>
  <si>
    <t>2.3 mm</t>
  </si>
  <si>
    <t>45 mm</t>
  </si>
  <si>
    <t xml:space="preserve">overlaps, helping against buckling? </t>
  </si>
  <si>
    <t>70 mm</t>
  </si>
  <si>
    <t>2.6 mm</t>
  </si>
  <si>
    <t>hard to twist smoothly, buckles appear</t>
  </si>
  <si>
    <t>3 mm</t>
  </si>
  <si>
    <t>?</t>
  </si>
  <si>
    <t>optimal parameters:</t>
  </si>
  <si>
    <t>5 mm</t>
  </si>
  <si>
    <t>cutting angle</t>
  </si>
  <si>
    <t>knife depth</t>
  </si>
  <si>
    <t>finding optimal angle</t>
  </si>
  <si>
    <t>0°</t>
  </si>
  <si>
    <t>angle</t>
  </si>
  <si>
    <t>comments</t>
  </si>
  <si>
    <t>1°</t>
  </si>
  <si>
    <t>2°</t>
  </si>
  <si>
    <t>3°</t>
  </si>
  <si>
    <t xml:space="preserve">no "vortrieb", can doesn't move along </t>
  </si>
  <si>
    <t>angle definitely required!</t>
  </si>
  <si>
    <t>can moves along nicely</t>
  </si>
  <si>
    <t>pulling straight gives best results</t>
  </si>
  <si>
    <t>works well</t>
  </si>
  <si>
    <t>""</t>
  </si>
  <si>
    <t>4°</t>
  </si>
  <si>
    <t>5°</t>
  </si>
  <si>
    <t>6°</t>
  </si>
  <si>
    <t>7°</t>
  </si>
  <si>
    <t>requried pulling force</t>
  </si>
  <si>
    <t>unterlagsscheiben</t>
  </si>
  <si>
    <t>9.5 N</t>
  </si>
  <si>
    <t>8 N</t>
  </si>
  <si>
    <t>sufficient vortrieb vor 6 mm strips</t>
  </si>
  <si>
    <t>14 N</t>
  </si>
  <si>
    <t>18 N</t>
  </si>
  <si>
    <t>16.5 N</t>
  </si>
  <si>
    <t>starts to get stuck more often</t>
  </si>
  <si>
    <t>20 N</t>
  </si>
  <si>
    <t>ideal angle: between 1 and 3 degrees, according to calculations it is 1.66° for wide cans and 1.92° for slim cans, so a value of 1.8 as a compromise should work well. Tests of force required for various angles validate the calculations</t>
  </si>
  <si>
    <t>next: Optimizing the blade</t>
  </si>
  <si>
    <t>9 N</t>
  </si>
  <si>
    <t>7 N</t>
  </si>
  <si>
    <t>doesnt cut it anymore</t>
  </si>
  <si>
    <t>6.5 N</t>
  </si>
  <si>
    <t>1.8°</t>
  </si>
  <si>
    <t>Blade overlap</t>
  </si>
  <si>
    <t>9.8 kg</t>
  </si>
  <si>
    <t>5.2 kg</t>
  </si>
  <si>
    <t>4.1 kg</t>
  </si>
  <si>
    <t>Tensile Strength with connection</t>
  </si>
  <si>
    <t>without connection</t>
  </si>
  <si>
    <t>&lt; 1 kg</t>
  </si>
  <si>
    <t>8.0 kg</t>
  </si>
  <si>
    <t>fishermans knot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</si>
</sst>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8C8F0-F2D5-4C47-960F-C813336791BE}">
  <dimension ref="A1:N5"/>
  <sheetViews>
    <sheetView tabSelected="1" workbookViewId="0">
      <selection activeCell="E6" sqref="E6"/>
    </sheetView>
  </sheetViews>
  <sheetFormatPr baseColWidth="10" defaultRowHeight="14.5" x14ac:dyDescent="0.35"/>
  <cols>
    <col min="1" max="1" width="8.1796875" bestFit="1" customWidth="1"/>
    <col min="2" max="2" width="12.90625" bestFit="1" customWidth="1"/>
    <col min="3" max="3" width="10.6328125" bestFit="1" customWidth="1"/>
    <col min="4" max="4" width="17" bestFit="1" customWidth="1"/>
    <col min="5" max="5" width="13.90625" bestFit="1" customWidth="1"/>
    <col min="6" max="6" width="23.1796875" bestFit="1" customWidth="1"/>
    <col min="7" max="7" width="20.08984375" bestFit="1" customWidth="1"/>
    <col min="9" max="9" width="16.7265625" bestFit="1" customWidth="1"/>
    <col min="10" max="10" width="17.1796875" bestFit="1" customWidth="1"/>
  </cols>
  <sheetData>
    <row r="1" spans="1:14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10</v>
      </c>
      <c r="I1" t="s">
        <v>8</v>
      </c>
      <c r="J1" t="s">
        <v>9</v>
      </c>
      <c r="K1" t="s">
        <v>11</v>
      </c>
      <c r="L1" t="s">
        <v>14</v>
      </c>
      <c r="M1" t="s">
        <v>15</v>
      </c>
      <c r="N1" t="s">
        <v>16</v>
      </c>
    </row>
    <row r="2" spans="1:14" x14ac:dyDescent="0.35">
      <c r="A2" t="s">
        <v>19</v>
      </c>
      <c r="B2">
        <v>66</v>
      </c>
      <c r="C2">
        <v>116.5</v>
      </c>
      <c r="D2">
        <v>10</v>
      </c>
      <c r="E2">
        <v>17</v>
      </c>
      <c r="F2">
        <v>47</v>
      </c>
      <c r="G2">
        <v>52</v>
      </c>
      <c r="H2">
        <v>330</v>
      </c>
      <c r="I2">
        <f>C2-D2-E2</f>
        <v>89.5</v>
      </c>
      <c r="J2">
        <f>C2*B2*PI()</f>
        <v>24155.705913451919</v>
      </c>
      <c r="K2" t="s">
        <v>0</v>
      </c>
      <c r="L2">
        <f>B2*PI()</f>
        <v>207.34511513692635</v>
      </c>
      <c r="M2">
        <v>6</v>
      </c>
      <c r="N2">
        <f>ATAN(M2/L2)*180/PI()</f>
        <v>1.6575204583616725</v>
      </c>
    </row>
    <row r="3" spans="1:14" x14ac:dyDescent="0.35">
      <c r="A3" t="s">
        <v>17</v>
      </c>
      <c r="B3">
        <v>57</v>
      </c>
      <c r="C3">
        <v>145</v>
      </c>
      <c r="D3">
        <v>6</v>
      </c>
      <c r="E3">
        <v>10</v>
      </c>
      <c r="F3">
        <v>46</v>
      </c>
      <c r="G3">
        <v>51</v>
      </c>
      <c r="H3">
        <v>330</v>
      </c>
      <c r="I3">
        <f>C3-D3-E3</f>
        <v>129</v>
      </c>
      <c r="J3">
        <f>C3*B3*PI()</f>
        <v>25965.263281919641</v>
      </c>
      <c r="K3" t="s">
        <v>18</v>
      </c>
      <c r="L3">
        <f>B3*PI()</f>
        <v>179.0707812546182</v>
      </c>
      <c r="M3">
        <v>6</v>
      </c>
      <c r="N3">
        <f>ATAN(M3/L3)*180/PI()</f>
        <v>1.9190518546891626</v>
      </c>
    </row>
    <row r="4" spans="1:14" x14ac:dyDescent="0.35">
      <c r="A4" t="s">
        <v>20</v>
      </c>
      <c r="B4">
        <v>66</v>
      </c>
      <c r="C4">
        <v>163</v>
      </c>
      <c r="D4">
        <v>10</v>
      </c>
      <c r="E4">
        <v>11</v>
      </c>
      <c r="F4">
        <v>47</v>
      </c>
      <c r="G4">
        <v>53</v>
      </c>
      <c r="H4">
        <v>500</v>
      </c>
      <c r="I4">
        <f>C4-D4-E4</f>
        <v>142</v>
      </c>
      <c r="J4">
        <f>C4*B4*PI()</f>
        <v>33797.253767318995</v>
      </c>
      <c r="K4" t="s">
        <v>21</v>
      </c>
      <c r="L4">
        <f>B4*PI()</f>
        <v>207.34511513692635</v>
      </c>
      <c r="M4">
        <v>6</v>
      </c>
      <c r="N4">
        <f>ATAN(M4/L4)*180/PI()</f>
        <v>1.6575204583616725</v>
      </c>
    </row>
    <row r="5" spans="1:14" x14ac:dyDescent="0.35">
      <c r="A5" t="s">
        <v>62</v>
      </c>
      <c r="B5">
        <v>57.5</v>
      </c>
      <c r="C5">
        <v>157</v>
      </c>
      <c r="D5">
        <v>6</v>
      </c>
      <c r="E5">
        <v>10</v>
      </c>
      <c r="F5">
        <v>47</v>
      </c>
      <c r="G5">
        <v>52</v>
      </c>
      <c r="H5">
        <v>355</v>
      </c>
      <c r="I5">
        <f>C5-D5-E5</f>
        <v>141</v>
      </c>
      <c r="J5">
        <f>C5*B5*PI()</f>
        <v>28360.727680281856</v>
      </c>
      <c r="L5">
        <f>B5*PI()</f>
        <v>180.64157758141312</v>
      </c>
      <c r="M5">
        <v>6</v>
      </c>
      <c r="N5">
        <f>ATAN(M5/L5)*180/PI()</f>
        <v>1.902376762643454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C7B23-879B-4303-9797-6E8E51893A54}">
  <dimension ref="C2:E8"/>
  <sheetViews>
    <sheetView workbookViewId="0">
      <selection activeCell="C9" sqref="C9"/>
    </sheetView>
  </sheetViews>
  <sheetFormatPr baseColWidth="10" defaultRowHeight="14.5" x14ac:dyDescent="0.35"/>
  <cols>
    <col min="1" max="1" width="13.90625" customWidth="1"/>
    <col min="2" max="2" width="9.90625" customWidth="1"/>
    <col min="3" max="3" width="13.90625" customWidth="1"/>
  </cols>
  <sheetData>
    <row r="2" spans="3:5" x14ac:dyDescent="0.35">
      <c r="E2" t="s">
        <v>42</v>
      </c>
    </row>
    <row r="3" spans="3:5" x14ac:dyDescent="0.35">
      <c r="E3">
        <v>0</v>
      </c>
    </row>
    <row r="7" spans="3:5" x14ac:dyDescent="0.35">
      <c r="C7" s="2" t="s">
        <v>12</v>
      </c>
      <c r="D7" s="2" t="s">
        <v>13</v>
      </c>
    </row>
    <row r="8" spans="3:5" x14ac:dyDescent="0.35">
      <c r="C8" s="2">
        <v>125</v>
      </c>
      <c r="D8" s="2">
        <v>13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FD8AD-7614-4B19-A74A-0C63057D9FDD}">
  <dimension ref="A1:K47"/>
  <sheetViews>
    <sheetView workbookViewId="0">
      <selection activeCell="I8" sqref="I8"/>
    </sheetView>
  </sheetViews>
  <sheetFormatPr baseColWidth="10" defaultRowHeight="14.5" x14ac:dyDescent="0.35"/>
  <cols>
    <col min="1" max="1" width="12.26953125" bestFit="1" customWidth="1"/>
    <col min="2" max="2" width="12.453125" bestFit="1" customWidth="1"/>
    <col min="3" max="3" width="14.26953125" bestFit="1" customWidth="1"/>
    <col min="4" max="4" width="9.90625" bestFit="1" customWidth="1"/>
    <col min="5" max="5" width="13.7265625" bestFit="1" customWidth="1"/>
    <col min="6" max="6" width="8.54296875" bestFit="1" customWidth="1"/>
    <col min="7" max="7" width="17.36328125" bestFit="1" customWidth="1"/>
    <col min="8" max="8" width="44.36328125" bestFit="1" customWidth="1"/>
  </cols>
  <sheetData>
    <row r="1" spans="1:11" x14ac:dyDescent="0.35">
      <c r="A1" t="s">
        <v>47</v>
      </c>
      <c r="C1" t="s">
        <v>48</v>
      </c>
      <c r="E1" t="s">
        <v>49</v>
      </c>
    </row>
    <row r="4" spans="1:11" x14ac:dyDescent="0.35">
      <c r="I4" t="s">
        <v>66</v>
      </c>
    </row>
    <row r="5" spans="1:11" x14ac:dyDescent="0.35">
      <c r="A5" t="s">
        <v>24</v>
      </c>
      <c r="B5" t="s">
        <v>25</v>
      </c>
      <c r="C5" t="s">
        <v>26</v>
      </c>
      <c r="D5" t="s">
        <v>27</v>
      </c>
      <c r="E5" t="s">
        <v>144</v>
      </c>
      <c r="F5" t="s">
        <v>145</v>
      </c>
      <c r="G5" t="s">
        <v>28</v>
      </c>
      <c r="H5" t="s">
        <v>29</v>
      </c>
      <c r="I5" t="s">
        <v>54</v>
      </c>
      <c r="K5" t="s">
        <v>55</v>
      </c>
    </row>
    <row r="6" spans="1:11" x14ac:dyDescent="0.35">
      <c r="A6" t="s">
        <v>30</v>
      </c>
      <c r="B6" t="s">
        <v>31</v>
      </c>
      <c r="C6" t="s">
        <v>32</v>
      </c>
      <c r="D6" t="s">
        <v>33</v>
      </c>
      <c r="E6" t="s">
        <v>146</v>
      </c>
      <c r="G6" t="s">
        <v>34</v>
      </c>
      <c r="H6" t="s">
        <v>35</v>
      </c>
      <c r="I6">
        <v>0.62</v>
      </c>
      <c r="K6" t="s">
        <v>56</v>
      </c>
    </row>
    <row r="7" spans="1:11" x14ac:dyDescent="0.35">
      <c r="A7" t="s">
        <v>41</v>
      </c>
      <c r="B7" t="s">
        <v>31</v>
      </c>
      <c r="E7" t="s">
        <v>146</v>
      </c>
      <c r="F7" t="s">
        <v>43</v>
      </c>
      <c r="G7" t="s">
        <v>44</v>
      </c>
      <c r="H7" t="s">
        <v>45</v>
      </c>
      <c r="I7">
        <v>0.42</v>
      </c>
      <c r="K7" t="s">
        <v>56</v>
      </c>
    </row>
    <row r="8" spans="1:11" x14ac:dyDescent="0.35">
      <c r="A8" t="s">
        <v>23</v>
      </c>
      <c r="B8" t="s">
        <v>57</v>
      </c>
      <c r="C8" t="s">
        <v>58</v>
      </c>
      <c r="E8" t="s">
        <v>142</v>
      </c>
      <c r="G8" t="s">
        <v>59</v>
      </c>
      <c r="H8" t="s">
        <v>60</v>
      </c>
      <c r="I8">
        <v>0.95</v>
      </c>
      <c r="K8" t="s">
        <v>71</v>
      </c>
    </row>
    <row r="9" spans="1:11" x14ac:dyDescent="0.35">
      <c r="A9" t="s">
        <v>46</v>
      </c>
      <c r="B9" t="s">
        <v>57</v>
      </c>
      <c r="C9" t="s">
        <v>58</v>
      </c>
      <c r="E9" t="s">
        <v>141</v>
      </c>
      <c r="G9" t="s">
        <v>63</v>
      </c>
      <c r="H9" t="s">
        <v>60</v>
      </c>
      <c r="I9">
        <v>0.92</v>
      </c>
      <c r="K9" t="s">
        <v>74</v>
      </c>
    </row>
    <row r="10" spans="1:11" x14ac:dyDescent="0.35">
      <c r="A10" t="s">
        <v>22</v>
      </c>
      <c r="B10" t="s">
        <v>64</v>
      </c>
      <c r="C10" t="s">
        <v>65</v>
      </c>
      <c r="E10" t="s">
        <v>143</v>
      </c>
      <c r="F10">
        <v>9.1999999999999993</v>
      </c>
      <c r="I10">
        <v>1.45</v>
      </c>
      <c r="K10" t="s">
        <v>61</v>
      </c>
    </row>
    <row r="11" spans="1:11" x14ac:dyDescent="0.35">
      <c r="A11" t="s">
        <v>50</v>
      </c>
      <c r="B11" t="s">
        <v>64</v>
      </c>
      <c r="C11" t="s">
        <v>65</v>
      </c>
      <c r="G11" t="s">
        <v>67</v>
      </c>
      <c r="I11">
        <v>0.75</v>
      </c>
      <c r="K11" t="s">
        <v>72</v>
      </c>
    </row>
    <row r="12" spans="1:11" x14ac:dyDescent="0.35">
      <c r="A12" t="s">
        <v>51</v>
      </c>
      <c r="B12" t="s">
        <v>64</v>
      </c>
      <c r="C12" t="s">
        <v>65</v>
      </c>
      <c r="G12" t="s">
        <v>68</v>
      </c>
      <c r="H12" t="s">
        <v>69</v>
      </c>
      <c r="I12">
        <v>0.52</v>
      </c>
      <c r="K12" t="s">
        <v>73</v>
      </c>
    </row>
    <row r="13" spans="1:11" x14ac:dyDescent="0.35">
      <c r="A13" t="s">
        <v>52</v>
      </c>
      <c r="B13" t="s">
        <v>64</v>
      </c>
      <c r="E13" t="s">
        <v>70</v>
      </c>
      <c r="K13" t="s">
        <v>71</v>
      </c>
    </row>
    <row r="14" spans="1:11" x14ac:dyDescent="0.35">
      <c r="A14" t="s">
        <v>22</v>
      </c>
      <c r="B14" t="s">
        <v>64</v>
      </c>
      <c r="C14" t="s">
        <v>148</v>
      </c>
      <c r="E14" t="s">
        <v>147</v>
      </c>
    </row>
    <row r="16" spans="1:11" x14ac:dyDescent="0.35">
      <c r="A16" t="s">
        <v>75</v>
      </c>
    </row>
    <row r="17" spans="1:10" x14ac:dyDescent="0.35">
      <c r="A17" t="s">
        <v>76</v>
      </c>
    </row>
    <row r="19" spans="1:10" x14ac:dyDescent="0.35">
      <c r="A19" t="s">
        <v>83</v>
      </c>
      <c r="B19" t="s">
        <v>78</v>
      </c>
      <c r="C19" t="s">
        <v>86</v>
      </c>
      <c r="D19" t="s">
        <v>87</v>
      </c>
      <c r="E19" t="s">
        <v>77</v>
      </c>
      <c r="I19" t="s">
        <v>102</v>
      </c>
    </row>
    <row r="20" spans="1:10" x14ac:dyDescent="0.35">
      <c r="A20">
        <v>1.8</v>
      </c>
      <c r="B20" t="s">
        <v>79</v>
      </c>
      <c r="D20" t="s">
        <v>88</v>
      </c>
      <c r="E20" t="s">
        <v>80</v>
      </c>
      <c r="I20" t="s">
        <v>83</v>
      </c>
      <c r="J20" t="s">
        <v>103</v>
      </c>
    </row>
    <row r="21" spans="1:10" x14ac:dyDescent="0.35">
      <c r="A21">
        <v>4</v>
      </c>
      <c r="B21" t="s">
        <v>81</v>
      </c>
      <c r="D21" t="s">
        <v>89</v>
      </c>
      <c r="E21" t="s">
        <v>82</v>
      </c>
      <c r="I21" t="s">
        <v>104</v>
      </c>
      <c r="J21" t="s">
        <v>139</v>
      </c>
    </row>
    <row r="22" spans="1:10" x14ac:dyDescent="0.35">
      <c r="A22">
        <v>4.5</v>
      </c>
      <c r="B22" t="s">
        <v>84</v>
      </c>
      <c r="D22" t="s">
        <v>90</v>
      </c>
      <c r="E22" t="s">
        <v>85</v>
      </c>
      <c r="I22" t="s">
        <v>105</v>
      </c>
    </row>
    <row r="23" spans="1:10" x14ac:dyDescent="0.35">
      <c r="A23">
        <v>5.5</v>
      </c>
      <c r="B23" t="s">
        <v>91</v>
      </c>
      <c r="D23" t="s">
        <v>92</v>
      </c>
      <c r="E23" t="s">
        <v>93</v>
      </c>
    </row>
    <row r="24" spans="1:10" x14ac:dyDescent="0.35">
      <c r="A24">
        <v>6</v>
      </c>
      <c r="B24" t="s">
        <v>94</v>
      </c>
      <c r="D24" t="s">
        <v>95</v>
      </c>
      <c r="E24" t="s">
        <v>96</v>
      </c>
    </row>
    <row r="25" spans="1:10" x14ac:dyDescent="0.35">
      <c r="A25">
        <v>7</v>
      </c>
      <c r="B25" t="s">
        <v>98</v>
      </c>
      <c r="D25" t="s">
        <v>97</v>
      </c>
    </row>
    <row r="26" spans="1:10" x14ac:dyDescent="0.35">
      <c r="A26">
        <v>9</v>
      </c>
      <c r="B26" t="s">
        <v>100</v>
      </c>
      <c r="D26" t="s">
        <v>101</v>
      </c>
      <c r="E26" t="s">
        <v>99</v>
      </c>
    </row>
    <row r="29" spans="1:10" x14ac:dyDescent="0.35">
      <c r="A29" t="s">
        <v>106</v>
      </c>
    </row>
    <row r="30" spans="1:10" x14ac:dyDescent="0.35">
      <c r="C30" t="s">
        <v>124</v>
      </c>
    </row>
    <row r="31" spans="1:10" x14ac:dyDescent="0.35">
      <c r="A31" t="s">
        <v>108</v>
      </c>
      <c r="B31" t="s">
        <v>109</v>
      </c>
      <c r="G31" t="s">
        <v>123</v>
      </c>
    </row>
    <row r="32" spans="1:10" x14ac:dyDescent="0.35">
      <c r="A32" t="s">
        <v>107</v>
      </c>
      <c r="B32" t="s">
        <v>113</v>
      </c>
      <c r="C32">
        <v>1</v>
      </c>
      <c r="E32" t="s">
        <v>114</v>
      </c>
    </row>
    <row r="33" spans="1:7" x14ac:dyDescent="0.35">
      <c r="A33" t="s">
        <v>110</v>
      </c>
      <c r="B33" t="s">
        <v>127</v>
      </c>
      <c r="C33">
        <v>1</v>
      </c>
      <c r="G33" t="s">
        <v>125</v>
      </c>
    </row>
    <row r="34" spans="1:7" x14ac:dyDescent="0.35">
      <c r="A34" t="s">
        <v>111</v>
      </c>
      <c r="B34" t="s">
        <v>115</v>
      </c>
      <c r="C34">
        <v>1</v>
      </c>
      <c r="D34" t="s">
        <v>116</v>
      </c>
      <c r="G34" t="s">
        <v>126</v>
      </c>
    </row>
    <row r="35" spans="1:7" x14ac:dyDescent="0.35">
      <c r="A35" t="s">
        <v>112</v>
      </c>
      <c r="B35" t="s">
        <v>117</v>
      </c>
      <c r="C35">
        <v>1</v>
      </c>
      <c r="D35" t="s">
        <v>118</v>
      </c>
      <c r="G35" t="s">
        <v>125</v>
      </c>
    </row>
    <row r="36" spans="1:7" x14ac:dyDescent="0.35">
      <c r="A36" t="s">
        <v>119</v>
      </c>
      <c r="B36" t="s">
        <v>117</v>
      </c>
      <c r="C36">
        <v>1</v>
      </c>
      <c r="G36" t="s">
        <v>128</v>
      </c>
    </row>
    <row r="37" spans="1:7" x14ac:dyDescent="0.35">
      <c r="A37" t="s">
        <v>120</v>
      </c>
      <c r="B37" t="s">
        <v>117</v>
      </c>
      <c r="C37">
        <v>1</v>
      </c>
      <c r="G37" t="s">
        <v>129</v>
      </c>
    </row>
    <row r="38" spans="1:7" x14ac:dyDescent="0.35">
      <c r="A38" t="s">
        <v>121</v>
      </c>
      <c r="B38" t="s">
        <v>117</v>
      </c>
      <c r="C38">
        <v>1</v>
      </c>
      <c r="G38" t="s">
        <v>130</v>
      </c>
    </row>
    <row r="39" spans="1:7" x14ac:dyDescent="0.35">
      <c r="A39" t="s">
        <v>122</v>
      </c>
      <c r="B39" t="s">
        <v>131</v>
      </c>
      <c r="C39">
        <v>1</v>
      </c>
      <c r="G39" t="s">
        <v>132</v>
      </c>
    </row>
    <row r="41" spans="1:7" x14ac:dyDescent="0.35">
      <c r="A41" t="s">
        <v>133</v>
      </c>
    </row>
    <row r="42" spans="1:7" x14ac:dyDescent="0.35">
      <c r="A42" t="s">
        <v>134</v>
      </c>
      <c r="C42" t="s">
        <v>140</v>
      </c>
    </row>
    <row r="43" spans="1:7" x14ac:dyDescent="0.35">
      <c r="A43" t="s">
        <v>111</v>
      </c>
      <c r="C43">
        <v>4</v>
      </c>
      <c r="G43" t="s">
        <v>135</v>
      </c>
    </row>
    <row r="44" spans="1:7" x14ac:dyDescent="0.35">
      <c r="C44">
        <v>2.8</v>
      </c>
      <c r="G44" t="s">
        <v>135</v>
      </c>
    </row>
    <row r="45" spans="1:7" x14ac:dyDescent="0.35">
      <c r="C45">
        <v>1.6</v>
      </c>
      <c r="G45" t="s">
        <v>136</v>
      </c>
    </row>
    <row r="46" spans="1:7" x14ac:dyDescent="0.35">
      <c r="C46">
        <v>0.4</v>
      </c>
      <c r="G46" t="s">
        <v>137</v>
      </c>
    </row>
    <row r="47" spans="1:7" x14ac:dyDescent="0.35">
      <c r="C47">
        <v>1</v>
      </c>
      <c r="G47" t="s">
        <v>138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6D560-23CA-4E60-9989-E918C3095039}">
  <dimension ref="A1:D6"/>
  <sheetViews>
    <sheetView workbookViewId="0">
      <selection activeCell="A14" sqref="A14:XFD14"/>
    </sheetView>
  </sheetViews>
  <sheetFormatPr baseColWidth="10" defaultRowHeight="14.5" x14ac:dyDescent="0.35"/>
  <cols>
    <col min="4" max="4" width="11.36328125" bestFit="1" customWidth="1"/>
  </cols>
  <sheetData>
    <row r="1" spans="1:4" x14ac:dyDescent="0.35">
      <c r="A1" t="s">
        <v>36</v>
      </c>
      <c r="B1" t="s">
        <v>37</v>
      </c>
      <c r="C1" t="s">
        <v>38</v>
      </c>
      <c r="D1" t="s">
        <v>39</v>
      </c>
    </row>
    <row r="2" spans="1:4" x14ac:dyDescent="0.35">
      <c r="A2" t="s">
        <v>40</v>
      </c>
      <c r="B2">
        <v>5</v>
      </c>
      <c r="C2">
        <v>325</v>
      </c>
      <c r="D2" s="1">
        <f>C2/B2</f>
        <v>65</v>
      </c>
    </row>
    <row r="3" spans="1:4" x14ac:dyDescent="0.35">
      <c r="A3" t="s">
        <v>40</v>
      </c>
      <c r="B3">
        <v>7</v>
      </c>
      <c r="C3">
        <v>402</v>
      </c>
      <c r="D3" s="1">
        <f>C3/B3</f>
        <v>57.428571428571431</v>
      </c>
    </row>
    <row r="4" spans="1:4" x14ac:dyDescent="0.35">
      <c r="A4" t="s">
        <v>53</v>
      </c>
      <c r="B4">
        <v>8</v>
      </c>
      <c r="C4">
        <v>348</v>
      </c>
      <c r="D4" s="1">
        <f>C4/B4</f>
        <v>43.5</v>
      </c>
    </row>
    <row r="5" spans="1:4" x14ac:dyDescent="0.35">
      <c r="A5" t="s">
        <v>53</v>
      </c>
      <c r="B5">
        <v>5</v>
      </c>
      <c r="C5">
        <v>222</v>
      </c>
      <c r="D5" s="1">
        <f>C5/B5</f>
        <v>44.4</v>
      </c>
    </row>
    <row r="6" spans="1:4" x14ac:dyDescent="0.35">
      <c r="A6" t="s">
        <v>53</v>
      </c>
      <c r="B6">
        <v>9</v>
      </c>
      <c r="C6">
        <v>457</v>
      </c>
      <c r="D6" s="1">
        <f>C6/B6</f>
        <v>50.777777777777779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Can Dimensions</vt:lpstr>
      <vt:lpstr>Stats</vt:lpstr>
      <vt:lpstr>Testing</vt:lpstr>
      <vt:lpstr>Cutter 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Zangger  Fabian</dc:creator>
  <cp:lastModifiedBy>Zangger  Fabian</cp:lastModifiedBy>
  <dcterms:created xsi:type="dcterms:W3CDTF">2026-03-16T12:19:20Z</dcterms:created>
  <dcterms:modified xsi:type="dcterms:W3CDTF">2026-05-31T07:55:07Z</dcterms:modified>
</cp:coreProperties>
</file>